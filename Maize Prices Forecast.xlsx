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55f9bc9fac0850/Desktop/"/>
    </mc:Choice>
  </mc:AlternateContent>
  <xr:revisionPtr revIDLastSave="164" documentId="8_{CE7296C4-AC76-440B-9DE6-68C03DBDED6C}" xr6:coauthVersionLast="47" xr6:coauthVersionMax="47" xr10:uidLastSave="{7C0A5B9A-E784-4D32-8B2F-CD6C3B1A8656}"/>
  <bookViews>
    <workbookView xWindow="-110" yWindow="-110" windowWidth="19420" windowHeight="11500" xr2:uid="{5C59A4F7-EB6E-4C7C-9DD8-E4548B9905F4}"/>
  </bookViews>
  <sheets>
    <sheet name="Grain Market (Prices)" sheetId="6" r:id="rId1"/>
    <sheet name="Fatehnagar Market (Prices)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8" l="1"/>
  <c r="C20" i="8"/>
  <c r="C19" i="8"/>
  <c r="C27" i="8"/>
  <c r="C23" i="8"/>
  <c r="C29" i="8"/>
  <c r="C25" i="8"/>
  <c r="C24" i="8"/>
  <c r="C32" i="8"/>
  <c r="C21" i="8"/>
  <c r="C22" i="8"/>
  <c r="C28" i="8"/>
  <c r="C26" i="8"/>
  <c r="C18" i="8"/>
  <c r="C31" i="8"/>
  <c r="C17" i="8"/>
  <c r="D36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37" i="8"/>
  <c r="D35" i="8"/>
  <c r="D40" i="6"/>
  <c r="E35" i="8" l="1"/>
  <c r="E37" i="8"/>
  <c r="E44" i="8"/>
  <c r="E43" i="8"/>
  <c r="E42" i="8"/>
  <c r="E41" i="8"/>
  <c r="E40" i="8"/>
  <c r="E39" i="8"/>
  <c r="E38" i="8"/>
  <c r="E36" i="8"/>
  <c r="C38" i="8"/>
  <c r="C39" i="8"/>
  <c r="C40" i="8"/>
  <c r="C41" i="8"/>
  <c r="C42" i="8"/>
  <c r="C43" i="8"/>
  <c r="C44" i="8"/>
  <c r="C37" i="8"/>
  <c r="C43" i="6"/>
  <c r="C44" i="6"/>
  <c r="C45" i="6"/>
  <c r="C46" i="6"/>
  <c r="C47" i="6"/>
  <c r="C48" i="6"/>
  <c r="C49" i="6"/>
  <c r="C42" i="6"/>
  <c r="C12" i="8"/>
  <c r="C13" i="8"/>
  <c r="C14" i="8"/>
  <c r="C12" i="6"/>
  <c r="C17" i="6"/>
  <c r="C13" i="6"/>
  <c r="C16" i="6"/>
  <c r="C14" i="6"/>
  <c r="C15" i="6"/>
  <c r="C23" i="6"/>
  <c r="C33" i="6"/>
  <c r="C31" i="6"/>
  <c r="C30" i="6"/>
  <c r="C22" i="6"/>
  <c r="C21" i="6"/>
  <c r="C29" i="6"/>
  <c r="C27" i="6"/>
  <c r="C26" i="6"/>
  <c r="C25" i="6"/>
  <c r="C35" i="6"/>
  <c r="C34" i="6"/>
  <c r="C24" i="6"/>
  <c r="C32" i="6"/>
  <c r="C28" i="6"/>
  <c r="C36" i="6"/>
  <c r="D50" i="6"/>
  <c r="D51" i="6"/>
  <c r="D52" i="6"/>
  <c r="D54" i="6"/>
  <c r="D55" i="6"/>
  <c r="D41" i="6"/>
  <c r="D43" i="6"/>
  <c r="D44" i="6"/>
  <c r="D46" i="6"/>
  <c r="D47" i="6"/>
  <c r="D42" i="6"/>
  <c r="D53" i="6"/>
  <c r="D45" i="6"/>
  <c r="D48" i="6"/>
  <c r="D49" i="6"/>
  <c r="E40" i="6" l="1"/>
  <c r="E49" i="6"/>
  <c r="E48" i="6"/>
  <c r="E45" i="6"/>
  <c r="E42" i="6"/>
  <c r="E47" i="6"/>
  <c r="E46" i="6"/>
  <c r="E44" i="6"/>
  <c r="E43" i="6"/>
  <c r="E41" i="6"/>
  <c r="D14" i="8"/>
  <c r="E12" i="8"/>
  <c r="E14" i="8"/>
  <c r="D13" i="8"/>
  <c r="D12" i="8"/>
  <c r="E13" i="8"/>
  <c r="D15" i="6"/>
  <c r="E15" i="6"/>
  <c r="E14" i="6"/>
  <c r="E13" i="6"/>
  <c r="D13" i="6"/>
  <c r="D17" i="6"/>
  <c r="E17" i="6"/>
  <c r="D12" i="6"/>
  <c r="E16" i="6"/>
  <c r="D14" i="6"/>
  <c r="D16" i="6"/>
  <c r="E12" i="6"/>
  <c r="E50" i="6" l="1"/>
</calcChain>
</file>

<file path=xl/sharedStrings.xml><?xml version="1.0" encoding="utf-8"?>
<sst xmlns="http://schemas.openxmlformats.org/spreadsheetml/2006/main" count="26" uniqueCount="14">
  <si>
    <t>Year</t>
  </si>
  <si>
    <t>Price (₹/Quintal)</t>
  </si>
  <si>
    <t>Forecast(Price (₹/Quintal))</t>
  </si>
  <si>
    <t>Lower Confidence Bound(Price (₹/Quintal))</t>
  </si>
  <si>
    <t>Upper Confidence Bound(Price (₹/Quintal))</t>
  </si>
  <si>
    <t>Timeline</t>
  </si>
  <si>
    <t>Values</t>
  </si>
  <si>
    <t>Forecast</t>
  </si>
  <si>
    <t>Lower Confidence Bound</t>
  </si>
  <si>
    <t>Upper Confidence Bound</t>
  </si>
  <si>
    <t>Monthly_Average_3</t>
  </si>
  <si>
    <t>ETS_Forecast</t>
  </si>
  <si>
    <t>Erro_ETS</t>
  </si>
  <si>
    <t>Monthly_average_3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</si>
</sst>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2" borderId="1" xfId="0" applyFont="1" applyFill="1" applyBorder="1"/>
    <xf numFmtId="1" fontId="0" fillId="3" borderId="1" xfId="0" applyNumberFormat="1" applyFill="1" applyBorder="1"/>
    <xf numFmtId="0" fontId="0" fillId="3" borderId="1" xfId="0" applyFill="1" applyBorder="1"/>
    <xf numFmtId="1" fontId="0" fillId="4" borderId="1" xfId="0" applyNumberFormat="1" applyFill="1" applyBorder="1"/>
    <xf numFmtId="0" fontId="0" fillId="4" borderId="1" xfId="0" applyFill="1" applyBorder="1"/>
    <xf numFmtId="0" fontId="0" fillId="0" borderId="1" xfId="0" applyBorder="1"/>
    <xf numFmtId="2" fontId="0" fillId="0" borderId="1" xfId="0" applyNumberFormat="1" applyBorder="1"/>
    <xf numFmtId="0" fontId="2" fillId="2" borderId="1" xfId="0" applyFont="1" applyFill="1" applyBorder="1"/>
    <xf numFmtId="1" fontId="3" fillId="3" borderId="1" xfId="0" applyNumberFormat="1" applyFont="1" applyFill="1" applyBorder="1"/>
    <xf numFmtId="0" fontId="3" fillId="3" borderId="1" xfId="0" applyFont="1" applyFill="1" applyBorder="1"/>
    <xf numFmtId="1" fontId="3" fillId="4" borderId="1" xfId="0" applyNumberFormat="1" applyFont="1" applyFill="1" applyBorder="1"/>
    <xf numFmtId="0" fontId="3" fillId="4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2" fontId="0" fillId="0" borderId="6" xfId="0" applyNumberFormat="1" applyBorder="1"/>
    <xf numFmtId="1" fontId="0" fillId="0" borderId="7" xfId="0" applyNumberFormat="1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2" fontId="3" fillId="4" borderId="1" xfId="0" applyNumberFormat="1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1" formatCode="0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'Grain Market (Prices)'!$B$1</c:f>
              <c:strCache>
                <c:ptCount val="1"/>
                <c:pt idx="0">
                  <c:v>Price (₹/Quintal)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'Grain Market (Prices)'!$B$2:$B$17</c:f>
              <c:numCache>
                <c:formatCode>General</c:formatCode>
                <c:ptCount val="16"/>
                <c:pt idx="0">
                  <c:v>1468</c:v>
                </c:pt>
                <c:pt idx="1">
                  <c:v>1700</c:v>
                </c:pt>
                <c:pt idx="2">
                  <c:v>1467</c:v>
                </c:pt>
                <c:pt idx="3">
                  <c:v>1630</c:v>
                </c:pt>
                <c:pt idx="4">
                  <c:v>2052</c:v>
                </c:pt>
                <c:pt idx="5">
                  <c:v>1626</c:v>
                </c:pt>
                <c:pt idx="6">
                  <c:v>1706</c:v>
                </c:pt>
                <c:pt idx="7">
                  <c:v>2150</c:v>
                </c:pt>
                <c:pt idx="8">
                  <c:v>2161</c:v>
                </c:pt>
                <c:pt idx="9">
                  <c:v>2461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8-4889-8E94-84C0464FD029}"/>
            </c:ext>
          </c:extLst>
        </c:ser>
        <c:ser>
          <c:idx val="1"/>
          <c:order val="1"/>
          <c:tx>
            <c:strRef>
              <c:f>'Grain Market (Prices)'!$C$1</c:f>
              <c:strCache>
                <c:ptCount val="1"/>
                <c:pt idx="0">
                  <c:v>Forecast(Price (₹/Quintal))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'Grain Market (Prices)'!$A$2:$A$17</c:f>
              <c:numCache>
                <c:formatCode>0</c:formatCode>
                <c:ptCount val="1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</c:numCache>
            </c:numRef>
          </c:cat>
          <c:val>
            <c:numRef>
              <c:f>'Grain Market (Prices)'!$C$2:$C$17</c:f>
              <c:numCache>
                <c:formatCode>General</c:formatCode>
                <c:ptCount val="16"/>
                <c:pt idx="9">
                  <c:v>2461</c:v>
                </c:pt>
                <c:pt idx="10" formatCode="0.00">
                  <c:v>2608.2901990846958</c:v>
                </c:pt>
                <c:pt idx="11" formatCode="0.00">
                  <c:v>2387.6081342928101</c:v>
                </c:pt>
                <c:pt idx="12" formatCode="0.00">
                  <c:v>2567.8174149175625</c:v>
                </c:pt>
                <c:pt idx="13" formatCode="0.00">
                  <c:v>2904.3322589626819</c:v>
                </c:pt>
                <c:pt idx="14" formatCode="0.00">
                  <c:v>2683.6501941707961</c:v>
                </c:pt>
                <c:pt idx="15" formatCode="0.00">
                  <c:v>2863.8594747955481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58-4889-8E94-84C0464FD029}"/>
            </c:ext>
          </c:extLst>
        </c:ser>
        <c:ser>
          <c:idx val="2"/>
          <c:order val="2"/>
          <c:tx>
            <c:strRef>
              <c:f>'Grain Market (Prices)'!$D$1</c:f>
              <c:strCache>
                <c:ptCount val="1"/>
                <c:pt idx="0">
                  <c:v>Lower Confidence Bound(Price (₹/Quintal))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'Grain Market (Prices)'!$A$2:$A$17</c:f>
              <c:numCache>
                <c:formatCode>0</c:formatCode>
                <c:ptCount val="1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</c:numCache>
            </c:numRef>
          </c:cat>
          <c:val>
            <c:numRef>
              <c:f>'Grain Market (Prices)'!$D$2:$D$17</c:f>
              <c:numCache>
                <c:formatCode>General</c:formatCode>
                <c:ptCount val="16"/>
                <c:pt idx="9" formatCode="0.00">
                  <c:v>2461</c:v>
                </c:pt>
                <c:pt idx="10" formatCode="0.00">
                  <c:v>2316.0735733800634</c:v>
                </c:pt>
                <c:pt idx="11" formatCode="0.00">
                  <c:v>2086.2558516933541</c:v>
                </c:pt>
                <c:pt idx="12" formatCode="0.00">
                  <c:v>2257.5289002275176</c:v>
                </c:pt>
                <c:pt idx="13" formatCode="0.00">
                  <c:v>2585.2218027340496</c:v>
                </c:pt>
                <c:pt idx="14" formatCode="0.00">
                  <c:v>2355.9552076355467</c:v>
                </c:pt>
                <c:pt idx="15" formatCode="0.00">
                  <c:v>2527.7342604772562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58-4889-8E94-84C0464FD029}"/>
            </c:ext>
          </c:extLst>
        </c:ser>
        <c:ser>
          <c:idx val="3"/>
          <c:order val="3"/>
          <c:tx>
            <c:strRef>
              <c:f>'Grain Market (Prices)'!$E$1</c:f>
              <c:strCache>
                <c:ptCount val="1"/>
                <c:pt idx="0">
                  <c:v>Upper Confidence Bound(Price (₹/Quintal))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'Grain Market (Prices)'!$A$2:$A$17</c:f>
              <c:numCache>
                <c:formatCode>0</c:formatCode>
                <c:ptCount val="1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</c:numCache>
            </c:numRef>
          </c:cat>
          <c:val>
            <c:numRef>
              <c:f>'Grain Market (Prices)'!$E$2:$E$17</c:f>
              <c:numCache>
                <c:formatCode>General</c:formatCode>
                <c:ptCount val="16"/>
                <c:pt idx="9" formatCode="0.00">
                  <c:v>2461</c:v>
                </c:pt>
                <c:pt idx="10" formatCode="0.00">
                  <c:v>2900.5068247893282</c:v>
                </c:pt>
                <c:pt idx="11" formatCode="0.00">
                  <c:v>2688.960416892266</c:v>
                </c:pt>
                <c:pt idx="12" formatCode="0.00">
                  <c:v>2878.1059296076073</c:v>
                </c:pt>
                <c:pt idx="13" formatCode="0.00">
                  <c:v>3223.4427151913142</c:v>
                </c:pt>
                <c:pt idx="14" formatCode="0.00">
                  <c:v>3011.3451807060455</c:v>
                </c:pt>
                <c:pt idx="15" formatCode="0.00">
                  <c:v>3199.98468911384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58-4889-8E94-84C0464FD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920768"/>
        <c:axId val="1681921248"/>
      </c:lineChart>
      <c:catAx>
        <c:axId val="16819207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21248"/>
        <c:crosses val="autoZero"/>
        <c:auto val="1"/>
        <c:lblAlgn val="ctr"/>
        <c:lblOffset val="100"/>
        <c:noMultiLvlLbl val="0"/>
      </c:catAx>
      <c:valAx>
        <c:axId val="16819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2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'Grain Market (Prices)'!$B$20</c:f>
              <c:strCache>
                <c:ptCount val="1"/>
                <c:pt idx="0">
                  <c:v>Price (₹/Quintal)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'Grain Market (Prices)'!$A$20</c:f>
              <c:strCache>
                <c:ptCount val="1"/>
                <c:pt idx="0">
                  <c:v>Year</c:v>
                </c:pt>
              </c:strCache>
            </c:strRef>
          </c:cat>
          <c:val>
            <c:numRef>
              <c:f>'Grain Market (Prices)'!$B$21:$B$36</c:f>
              <c:numCache>
                <c:formatCode>General</c:formatCode>
                <c:ptCount val="16"/>
                <c:pt idx="0">
                  <c:v>1468</c:v>
                </c:pt>
                <c:pt idx="1">
                  <c:v>1700</c:v>
                </c:pt>
                <c:pt idx="2">
                  <c:v>1467</c:v>
                </c:pt>
                <c:pt idx="3">
                  <c:v>1630</c:v>
                </c:pt>
                <c:pt idx="4">
                  <c:v>2052</c:v>
                </c:pt>
                <c:pt idx="5">
                  <c:v>1626</c:v>
                </c:pt>
                <c:pt idx="6">
                  <c:v>1706</c:v>
                </c:pt>
                <c:pt idx="7">
                  <c:v>2150</c:v>
                </c:pt>
                <c:pt idx="8">
                  <c:v>2161</c:v>
                </c:pt>
                <c:pt idx="9">
                  <c:v>2461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F-4AD1-A91F-9606B88111A0}"/>
            </c:ext>
          </c:extLst>
        </c:ser>
        <c:ser>
          <c:idx val="2"/>
          <c:order val="2"/>
          <c:tx>
            <c:strRef>
              <c:f>'Grain Market (Prices)'!$C$20</c:f>
              <c:strCache>
                <c:ptCount val="1"/>
                <c:pt idx="0">
                  <c:v>ETS_Forecast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'Grain Market (Prices)'!$A$20</c:f>
              <c:strCache>
                <c:ptCount val="1"/>
                <c:pt idx="0">
                  <c:v>Year</c:v>
                </c:pt>
              </c:strCache>
            </c:strRef>
          </c:cat>
          <c:val>
            <c:numRef>
              <c:f>'Grain Market (Prices)'!$C$21:$C$36</c:f>
              <c:numCache>
                <c:formatCode>0.00</c:formatCode>
                <c:ptCount val="16"/>
                <c:pt idx="0">
                  <c:v>1383.6491754056183</c:v>
                </c:pt>
                <c:pt idx="1">
                  <c:v>1720.1640194507379</c:v>
                </c:pt>
                <c:pt idx="2">
                  <c:v>1499.4819546588524</c:v>
                </c:pt>
                <c:pt idx="3">
                  <c:v>1679.6912352836043</c:v>
                </c:pt>
                <c:pt idx="4">
                  <c:v>2016.2060793287237</c:v>
                </c:pt>
                <c:pt idx="5">
                  <c:v>1795.5240145368382</c:v>
                </c:pt>
                <c:pt idx="6">
                  <c:v>1975.7332951615901</c:v>
                </c:pt>
                <c:pt idx="7">
                  <c:v>2312.2481392067098</c:v>
                </c:pt>
                <c:pt idx="8">
                  <c:v>2091.566074414824</c:v>
                </c:pt>
                <c:pt idx="9">
                  <c:v>2271.7753550395764</c:v>
                </c:pt>
                <c:pt idx="10">
                  <c:v>2608.2901990846958</c:v>
                </c:pt>
                <c:pt idx="11">
                  <c:v>2387.6081342928101</c:v>
                </c:pt>
                <c:pt idx="12">
                  <c:v>2567.8174149175625</c:v>
                </c:pt>
                <c:pt idx="13">
                  <c:v>2904.3322589626819</c:v>
                </c:pt>
                <c:pt idx="14">
                  <c:v>2683.6501941707961</c:v>
                </c:pt>
                <c:pt idx="15">
                  <c:v>2863.8594747955481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FF-4AD1-A91F-9606B881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858304"/>
        <c:axId val="4598602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'Grain Market (Prices)'!$A$20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'Grain Market (Prices)'!$A$20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'Grain Market (Prices)'!$A$21:$A$36</c15:sqref>
                        </c15:formulaRef>
                      </c:ext>
                    </c:extLst>
                    <c:numCache>
                      <c:formatCode>0</c:formatCode>
                      <c:ptCount val="16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  <c:pt idx="4">
                        <c:v>2020</c:v>
                      </c:pt>
                      <c:pt idx="5">
                        <c:v>2021</c:v>
                      </c:pt>
                      <c:pt idx="6">
                        <c:v>2022</c:v>
                      </c:pt>
                      <c:pt idx="7">
                        <c:v>2023</c:v>
                      </c:pt>
                      <c:pt idx="8">
                        <c:v>2024</c:v>
                      </c:pt>
                      <c:pt idx="9">
                        <c:v>2025</c:v>
                      </c:pt>
                      <c:pt idx="10">
                        <c:v>2026</c:v>
                      </c:pt>
                      <c:pt idx="11">
                        <c:v>2027</c:v>
                      </c:pt>
                      <c:pt idx="12">
                        <c:v>2028</c:v>
                      </c:pt>
                      <c:pt idx="13">
                        <c:v>2029</c:v>
                      </c:pt>
                      <c:pt idx="14">
                        <c:v>2030</c:v>
                      </c:pt>
                      <c:pt idx="15">
                        <c:v>2031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3FF-4AD1-A91F-9606B88111A0}"/>
                  </c:ext>
                </c:extLst>
              </c15:ser>
            </c15:filteredLineSeries>
          </c:ext>
        </c:extLst>
      </c:lineChart>
      <c:catAx>
        <c:axId val="45985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60224"/>
        <c:crosses val="autoZero"/>
        <c:auto val="1"/>
        <c:lblAlgn val="ctr"/>
        <c:lblOffset val="100"/>
        <c:noMultiLvlLbl val="0"/>
      </c:catAx>
      <c:valAx>
        <c:axId val="45986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'Fatehnagar Market (Prices)'!$B$1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'Fatehnagar Market (Prices)'!$B$2:$B$14</c:f>
              <c:numCache>
                <c:formatCode>General</c:formatCode>
                <c:ptCount val="13"/>
                <c:pt idx="0">
                  <c:v>1470</c:v>
                </c:pt>
                <c:pt idx="1">
                  <c:v>1570</c:v>
                </c:pt>
                <c:pt idx="2">
                  <c:v>1362</c:v>
                </c:pt>
                <c:pt idx="3">
                  <c:v>1540</c:v>
                </c:pt>
                <c:pt idx="4">
                  <c:v>1897</c:v>
                </c:pt>
                <c:pt idx="5">
                  <c:v>1140</c:v>
                </c:pt>
                <c:pt idx="6">
                  <c:v>1716</c:v>
                </c:pt>
                <c:pt idx="7">
                  <c:v>2038</c:v>
                </c:pt>
                <c:pt idx="8">
                  <c:v>2061</c:v>
                </c:pt>
                <c:pt idx="9">
                  <c:v>2230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EE-4C4D-B5D1-F92AEE55FCE4}"/>
            </c:ext>
          </c:extLst>
        </c:ser>
        <c:ser>
          <c:idx val="1"/>
          <c:order val="1"/>
          <c:tx>
            <c:strRef>
              <c:f>'Fatehnagar Market (Prices)'!$C$1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'Fatehnagar Market (Prices)'!$A$2:$A$14</c:f>
              <c:numCache>
                <c:formatCode>0</c:formatCod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'Fatehnagar Market (Prices)'!$C$2:$C$14</c:f>
              <c:numCache>
                <c:formatCode>General</c:formatCode>
                <c:ptCount val="13"/>
                <c:pt idx="9">
                  <c:v>2230</c:v>
                </c:pt>
                <c:pt idx="10">
                  <c:v>2186.334687488858</c:v>
                </c:pt>
                <c:pt idx="11">
                  <c:v>2266.9859549811522</c:v>
                </c:pt>
                <c:pt idx="12">
                  <c:v>2347.6372224734469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EE-4C4D-B5D1-F92AEE55FCE4}"/>
            </c:ext>
          </c:extLst>
        </c:ser>
        <c:ser>
          <c:idx val="2"/>
          <c:order val="2"/>
          <c:tx>
            <c:strRef>
              <c:f>'Fatehnagar Market (Prices)'!$D$1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'Fatehnagar Market (Prices)'!$A$2:$A$14</c:f>
              <c:numCache>
                <c:formatCode>0</c:formatCod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'Fatehnagar Market (Prices)'!$D$2:$D$14</c:f>
              <c:numCache>
                <c:formatCode>General</c:formatCode>
                <c:ptCount val="13"/>
                <c:pt idx="9" formatCode="0.00">
                  <c:v>2230</c:v>
                </c:pt>
                <c:pt idx="10" formatCode="0.00">
                  <c:v>1677.9924361754402</c:v>
                </c:pt>
                <c:pt idx="11" formatCode="0.00">
                  <c:v>1754.5605759162031</c:v>
                </c:pt>
                <c:pt idx="12" formatCode="0.00">
                  <c:v>1831.0972058535726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EE-4C4D-B5D1-F92AEE55FCE4}"/>
            </c:ext>
          </c:extLst>
        </c:ser>
        <c:ser>
          <c:idx val="3"/>
          <c:order val="3"/>
          <c:tx>
            <c:strRef>
              <c:f>'Fatehnagar Market (Prices)'!$E$1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'Fatehnagar Market (Prices)'!$A$2:$A$14</c:f>
              <c:numCache>
                <c:formatCode>0</c:formatCod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'Fatehnagar Market (Prices)'!$E$2:$E$14</c:f>
              <c:numCache>
                <c:formatCode>General</c:formatCode>
                <c:ptCount val="13"/>
                <c:pt idx="9" formatCode="0.00">
                  <c:v>2230</c:v>
                </c:pt>
                <c:pt idx="10" formatCode="0.00">
                  <c:v>2694.6769388022758</c:v>
                </c:pt>
                <c:pt idx="11" formatCode="0.00">
                  <c:v>2779.4113340461013</c:v>
                </c:pt>
                <c:pt idx="12" formatCode="0.00">
                  <c:v>2864.1772390933211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EE-4C4D-B5D1-F92AEE55F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917408"/>
        <c:axId val="1681901088"/>
      </c:lineChart>
      <c:catAx>
        <c:axId val="168191740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01088"/>
        <c:crosses val="autoZero"/>
        <c:auto val="1"/>
        <c:lblAlgn val="ctr"/>
        <c:lblOffset val="100"/>
        <c:noMultiLvlLbl val="0"/>
      </c:catAx>
      <c:valAx>
        <c:axId val="168190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1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'Fatehnagar Market (Prices)'!$B$16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'Fatehnagar Market (Prices)'!$A$16:$A$32</c:f>
              <c:strCache>
                <c:ptCount val="17"/>
                <c:pt idx="0">
                  <c:v>Timeline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</c:strCache>
            </c:strRef>
          </c:cat>
          <c:val>
            <c:numRef>
              <c:f>'Fatehnagar Market (Prices)'!$B$17:$B$32</c:f>
              <c:numCache>
                <c:formatCode>General</c:formatCode>
                <c:ptCount val="16"/>
                <c:pt idx="0">
                  <c:v>1470</c:v>
                </c:pt>
                <c:pt idx="1">
                  <c:v>1570</c:v>
                </c:pt>
                <c:pt idx="2">
                  <c:v>1362</c:v>
                </c:pt>
                <c:pt idx="3">
                  <c:v>1540</c:v>
                </c:pt>
                <c:pt idx="4">
                  <c:v>1897</c:v>
                </c:pt>
                <c:pt idx="5">
                  <c:v>1140</c:v>
                </c:pt>
                <c:pt idx="6">
                  <c:v>1716</c:v>
                </c:pt>
                <c:pt idx="7">
                  <c:v>2038</c:v>
                </c:pt>
                <c:pt idx="8">
                  <c:v>2061</c:v>
                </c:pt>
                <c:pt idx="9">
                  <c:v>2230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23-4EB0-9DFE-969771C8D0B3}"/>
            </c:ext>
          </c:extLst>
        </c:ser>
        <c:ser>
          <c:idx val="2"/>
          <c:order val="1"/>
          <c:tx>
            <c:strRef>
              <c:f>'Fatehnagar Market (Prices)'!$C$16</c:f>
              <c:strCache>
                <c:ptCount val="1"/>
                <c:pt idx="0">
                  <c:v>ETS_Forecast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'Fatehnagar Market (Prices)'!$A$16:$A$32</c:f>
              <c:strCache>
                <c:ptCount val="17"/>
                <c:pt idx="0">
                  <c:v>Timeline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</c:strCache>
            </c:strRef>
          </c:cat>
          <c:val>
            <c:numRef>
              <c:f>'Fatehnagar Market (Prices)'!$C$17:$C$32</c:f>
              <c:numCache>
                <c:formatCode>0.00</c:formatCode>
                <c:ptCount val="16"/>
                <c:pt idx="0">
                  <c:v>1379.8220125659132</c:v>
                </c:pt>
                <c:pt idx="1">
                  <c:v>1460.4732800582078</c:v>
                </c:pt>
                <c:pt idx="2">
                  <c:v>1541.124547550502</c:v>
                </c:pt>
                <c:pt idx="3">
                  <c:v>1621.7758150427967</c:v>
                </c:pt>
                <c:pt idx="4">
                  <c:v>1702.4270825350911</c:v>
                </c:pt>
                <c:pt idx="5">
                  <c:v>1783.0783500273856</c:v>
                </c:pt>
                <c:pt idx="6">
                  <c:v>1863.72961751968</c:v>
                </c:pt>
                <c:pt idx="7">
                  <c:v>1944.3808850119744</c:v>
                </c:pt>
                <c:pt idx="8">
                  <c:v>2025.0321525042689</c:v>
                </c:pt>
                <c:pt idx="9">
                  <c:v>2105.6834199965633</c:v>
                </c:pt>
                <c:pt idx="10">
                  <c:v>2186.334687488858</c:v>
                </c:pt>
                <c:pt idx="11">
                  <c:v>2266.9859549811522</c:v>
                </c:pt>
                <c:pt idx="12">
                  <c:v>2347.6372224734469</c:v>
                </c:pt>
                <c:pt idx="13">
                  <c:v>2428.2884899657411</c:v>
                </c:pt>
                <c:pt idx="14">
                  <c:v>2508.9397574580357</c:v>
                </c:pt>
                <c:pt idx="15">
                  <c:v>2589.5910249503299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23-4EB0-9DFE-969771C8D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634528"/>
        <c:axId val="583631168"/>
      </c:lineChart>
      <c:catAx>
        <c:axId val="5836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31168"/>
        <c:crosses val="autoZero"/>
        <c:auto val="1"/>
        <c:lblAlgn val="ctr"/>
        <c:lblOffset val="100"/>
        <c:noMultiLvlLbl val="0"/>
      </c:catAx>
      <c:valAx>
        <c:axId val="5836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3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211667</xdr:colOff>
      <xdr:row>0</xdr:row>
      <xdr:rowOff>77982</xdr:rowOff>
    </xdr:from>
    <xdr:to>
      <xdr:col>16</xdr:col>
      <xdr:colOff>510491</xdr:colOff>
      <xdr:row>16</xdr:row>
      <xdr:rowOff>136961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CE2939-23C8-46A9-B181-F4BC9F2AA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378773</xdr:colOff>
      <xdr:row>19</xdr:row>
      <xdr:rowOff>33420</xdr:rowOff>
    </xdr:from>
    <xdr:to>
      <xdr:col>6</xdr:col>
      <xdr:colOff>594033</xdr:colOff>
      <xdr:row>35</xdr:row>
      <xdr:rowOff>167105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DB5119-D1D6-C610-4198-65B6A2760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30972</xdr:colOff>
      <xdr:row>0</xdr:row>
      <xdr:rowOff>18791</xdr:rowOff>
    </xdr:from>
    <xdr:to>
      <xdr:col>16</xdr:col>
      <xdr:colOff>168470</xdr:colOff>
      <xdr:row>11</xdr:row>
      <xdr:rowOff>103674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68C06-B263-A890-4340-76073497D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421874</xdr:colOff>
      <xdr:row>17</xdr:row>
      <xdr:rowOff>7883</xdr:rowOff>
    </xdr:from>
    <xdr:to>
      <xdr:col>7</xdr:col>
      <xdr:colOff>468587</xdr:colOff>
      <xdr:row>32</xdr:row>
      <xdr:rowOff>14014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847A29-C70B-0755-4ACD-20B4763C3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81A65-D67A-4D37-AD3D-E13335721664}" name="Table4" displayName="Table4" ref="A1:E17" totalsRowShown="0" headerRowDxfId="11" headerRowBorderDxfId="10" tableBorderDxfId="9" totalsRowBorderDxfId="8">
  <autoFilter ref="A1:E17" xr:uid="{00081A65-D67A-4D37-AD3D-E13335721664}"/>
  <tableColumns count="5">
    <tableColumn id="1" xr3:uid="{652EAECB-D6AD-4CA6-AF4A-F0FAB431D9A5}" name="Year" dataDxfId="7"/>
    <tableColumn id="2" xr3:uid="{B80674B5-4D7D-4601-80EE-05DA07576896}" name="Price (₹/Quintal)" dataDxfId="6"/>
    <tableColumn id="3" xr3:uid="{5ADF5F51-38EA-4D91-93E9-5A859409A08B}" name="Forecast(Price (₹/Quintal))" dataDxfId="5">
      <calculatedColumnFormula>_xlfn.FORECAST.ETS(A2,$B$2:$B$11,$A$2:$A$11,1,1)</calculatedColumnFormula>
    </tableColumn>
    <tableColumn id="4" xr3:uid="{3C74E422-D73F-46F2-BE0E-CAB5327C25FC}" name="Lower Confidence Bound(Price (₹/Quintal))" dataDxfId="4">
      <calculatedColumnFormula>C2-_xlfn.FORECAST.ETS.CONFINT(A2,$B$2:$B$11,$A$2:$A$11,0.95,1,1)</calculatedColumnFormula>
    </tableColumn>
    <tableColumn id="5" xr3:uid="{162C56E5-9A7E-4BFD-94BE-F532E21C3D11}" name="Upper Confidence Bound(Price (₹/Quintal))" dataDxfId="3">
      <calculatedColumnFormula>C2+_xlfn.FORECAST.ETS.CONFINT(A2,$B$2:$B$11,$A$2:$A$11,0.95,1,1)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E06CD9-5B6E-4F4A-92D5-6DE886B6C6B5}" name="Table8" displayName="Table8" ref="A1:E14" totalsRowShown="0">
  <autoFilter ref="A1:E14" xr:uid="{51E06CD9-5B6E-4F4A-92D5-6DE886B6C6B5}"/>
  <tableColumns count="5">
    <tableColumn id="1" xr3:uid="{CB543F6E-0BBB-4E94-A539-012227F0407A}" name="Timeline" dataDxfId="2"/>
    <tableColumn id="2" xr3:uid="{CC76AD95-3E13-4474-9BA2-8AD74883C6AA}" name="Values"/>
    <tableColumn id="3" xr3:uid="{A863B42A-338D-4C54-9DAC-6232B92620DD}" name="Forecast"/>
    <tableColumn id="4" xr3:uid="{3085E786-F8D3-4B55-8CF0-512125829FA2}" name="Lower Confidence Bound" dataDxfId="1"/>
    <tableColumn id="5" xr3:uid="{B553F2F5-0880-4431-8F39-DA893E73EF21}" name="Upper Confidence Bou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041C-0E7B-4F5D-BE31-BC7ED11F531C}">
  <dimension ref="A1:E55"/>
  <sheetViews>
    <sheetView tabSelected="1" zoomScale="62" workbookViewId="0">
      <selection activeCell="C11" sqref="C11:E11"/>
    </sheetView>
  </sheetViews>
  <sheetFormatPr defaultRowHeight="14.5" x14ac:dyDescent="0.35"/>
  <cols>
    <col min="2" max="2" width="16.6328125" customWidth="1"/>
    <col min="3" max="3" width="25.08984375" customWidth="1"/>
    <col min="4" max="4" width="38.6328125" customWidth="1"/>
    <col min="5" max="5" width="38.81640625" customWidth="1"/>
  </cols>
  <sheetData>
    <row r="1" spans="1:5" x14ac:dyDescent="0.3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</row>
    <row r="2" spans="1:5" x14ac:dyDescent="0.35">
      <c r="A2" s="18">
        <v>2016</v>
      </c>
      <c r="B2" s="8">
        <v>1468</v>
      </c>
      <c r="C2" s="8"/>
      <c r="D2" s="8"/>
      <c r="E2" s="19"/>
    </row>
    <row r="3" spans="1:5" x14ac:dyDescent="0.35">
      <c r="A3" s="18">
        <v>2017</v>
      </c>
      <c r="B3" s="8">
        <v>1700</v>
      </c>
      <c r="C3" s="8"/>
      <c r="D3" s="8"/>
      <c r="E3" s="19"/>
    </row>
    <row r="4" spans="1:5" x14ac:dyDescent="0.35">
      <c r="A4" s="18">
        <v>2018</v>
      </c>
      <c r="B4" s="8">
        <v>1467</v>
      </c>
      <c r="C4" s="8"/>
      <c r="D4" s="8"/>
      <c r="E4" s="19"/>
    </row>
    <row r="5" spans="1:5" x14ac:dyDescent="0.35">
      <c r="A5" s="18">
        <v>2019</v>
      </c>
      <c r="B5" s="8">
        <v>1630</v>
      </c>
      <c r="C5" s="8"/>
      <c r="D5" s="8"/>
      <c r="E5" s="19"/>
    </row>
    <row r="6" spans="1:5" x14ac:dyDescent="0.35">
      <c r="A6" s="18">
        <v>2020</v>
      </c>
      <c r="B6" s="8">
        <v>2052</v>
      </c>
      <c r="C6" s="8"/>
      <c r="D6" s="8"/>
      <c r="E6" s="19"/>
    </row>
    <row r="7" spans="1:5" x14ac:dyDescent="0.35">
      <c r="A7" s="18">
        <v>2021</v>
      </c>
      <c r="B7" s="8">
        <v>1626</v>
      </c>
      <c r="C7" s="8"/>
      <c r="D7" s="8"/>
      <c r="E7" s="19"/>
    </row>
    <row r="8" spans="1:5" x14ac:dyDescent="0.35">
      <c r="A8" s="18">
        <v>2022</v>
      </c>
      <c r="B8" s="8">
        <v>1706</v>
      </c>
      <c r="C8" s="8"/>
      <c r="D8" s="8"/>
      <c r="E8" s="19"/>
    </row>
    <row r="9" spans="1:5" x14ac:dyDescent="0.35">
      <c r="A9" s="18">
        <v>2023</v>
      </c>
      <c r="B9" s="8">
        <v>2150</v>
      </c>
      <c r="C9" s="8"/>
      <c r="D9" s="8"/>
      <c r="E9" s="19"/>
    </row>
    <row r="10" spans="1:5" x14ac:dyDescent="0.35">
      <c r="A10" s="18">
        <v>2024</v>
      </c>
      <c r="B10" s="8">
        <v>2161</v>
      </c>
      <c r="C10" s="8"/>
      <c r="D10" s="8"/>
      <c r="E10" s="19"/>
    </row>
    <row r="11" spans="1:5" x14ac:dyDescent="0.35">
      <c r="A11" s="18">
        <v>2025</v>
      </c>
      <c r="B11" s="8">
        <v>2461</v>
      </c>
      <c r="C11" s="8">
        <v>2461</v>
      </c>
      <c r="D11" s="9">
        <v>2461</v>
      </c>
      <c r="E11" s="20">
        <v>2461</v>
      </c>
    </row>
    <row r="12" spans="1:5" x14ac:dyDescent="0.35">
      <c r="A12" s="18">
        <v>2026</v>
      </c>
      <c r="B12" s="8"/>
      <c r="C12" s="9">
        <f t="shared" ref="C12:C17" si="0">_xlfn.FORECAST.ETS(A12,$B$2:$B$11,$A$2:$A$11,1,1)</f>
        <v>2608.2901990846958</v>
      </c>
      <c r="D12" s="9">
        <f t="shared" ref="D12:D17" si="1">C12-_xlfn.FORECAST.ETS.CONFINT(A12,$B$2:$B$11,$A$2:$A$11,0.95,1,1)</f>
        <v>2316.0735733800634</v>
      </c>
      <c r="E12" s="20">
        <f t="shared" ref="E12:E17" si="2">C12+_xlfn.FORECAST.ETS.CONFINT(A12,$B$2:$B$11,$A$2:$A$11,0.95,1,1)</f>
        <v>2900.5068247893282</v>
      </c>
    </row>
    <row r="13" spans="1:5" x14ac:dyDescent="0.35">
      <c r="A13" s="18">
        <v>2027</v>
      </c>
      <c r="B13" s="8"/>
      <c r="C13" s="9">
        <f t="shared" si="0"/>
        <v>2387.6081342928101</v>
      </c>
      <c r="D13" s="9">
        <f t="shared" si="1"/>
        <v>2086.2558516933541</v>
      </c>
      <c r="E13" s="20">
        <f t="shared" si="2"/>
        <v>2688.960416892266</v>
      </c>
    </row>
    <row r="14" spans="1:5" x14ac:dyDescent="0.35">
      <c r="A14" s="18">
        <v>2028</v>
      </c>
      <c r="B14" s="8"/>
      <c r="C14" s="9">
        <f t="shared" si="0"/>
        <v>2567.8174149175625</v>
      </c>
      <c r="D14" s="9">
        <f t="shared" si="1"/>
        <v>2257.5289002275176</v>
      </c>
      <c r="E14" s="20">
        <f t="shared" si="2"/>
        <v>2878.1059296076073</v>
      </c>
    </row>
    <row r="15" spans="1:5" x14ac:dyDescent="0.35">
      <c r="A15" s="18">
        <v>2029</v>
      </c>
      <c r="B15" s="8"/>
      <c r="C15" s="9">
        <f t="shared" si="0"/>
        <v>2904.3322589626819</v>
      </c>
      <c r="D15" s="9">
        <f t="shared" si="1"/>
        <v>2585.2218027340496</v>
      </c>
      <c r="E15" s="20">
        <f t="shared" si="2"/>
        <v>3223.4427151913142</v>
      </c>
    </row>
    <row r="16" spans="1:5" x14ac:dyDescent="0.35">
      <c r="A16" s="18">
        <v>2030</v>
      </c>
      <c r="B16" s="8"/>
      <c r="C16" s="9">
        <f t="shared" si="0"/>
        <v>2683.6501941707961</v>
      </c>
      <c r="D16" s="9">
        <f t="shared" si="1"/>
        <v>2355.9552076355467</v>
      </c>
      <c r="E16" s="20">
        <f t="shared" si="2"/>
        <v>3011.3451807060455</v>
      </c>
    </row>
    <row r="17" spans="1:5" x14ac:dyDescent="0.35">
      <c r="A17" s="21">
        <v>2031</v>
      </c>
      <c r="B17" s="22"/>
      <c r="C17" s="23">
        <f t="shared" si="0"/>
        <v>2863.8594747955481</v>
      </c>
      <c r="D17" s="23">
        <f t="shared" si="1"/>
        <v>2527.7342604772562</v>
      </c>
      <c r="E17" s="24">
        <f t="shared" si="2"/>
        <v>3199.98468911384</v>
      </c>
    </row>
    <row r="20" spans="1:5" x14ac:dyDescent="0.35">
      <c r="A20" s="10" t="s">
        <v>0</v>
      </c>
      <c r="B20" s="10" t="s">
        <v>1</v>
      </c>
      <c r="C20" s="8" t="s">
        <v>11</v>
      </c>
    </row>
    <row r="21" spans="1:5" x14ac:dyDescent="0.35">
      <c r="A21" s="11">
        <v>2016</v>
      </c>
      <c r="B21" s="12">
        <v>1468</v>
      </c>
      <c r="C21" s="9">
        <f t="shared" ref="C21:C36" si="3">_xlfn.FORECAST.ETS(A21,$B$40:$B$49,$A$40:$A$49)</f>
        <v>1383.6491754056183</v>
      </c>
    </row>
    <row r="22" spans="1:5" x14ac:dyDescent="0.35">
      <c r="A22" s="13">
        <v>2017</v>
      </c>
      <c r="B22" s="14">
        <v>1700</v>
      </c>
      <c r="C22" s="9">
        <f t="shared" si="3"/>
        <v>1720.1640194507379</v>
      </c>
    </row>
    <row r="23" spans="1:5" x14ac:dyDescent="0.35">
      <c r="A23" s="11">
        <v>2018</v>
      </c>
      <c r="B23" s="12">
        <v>1467</v>
      </c>
      <c r="C23" s="9">
        <f t="shared" si="3"/>
        <v>1499.4819546588524</v>
      </c>
    </row>
    <row r="24" spans="1:5" x14ac:dyDescent="0.35">
      <c r="A24" s="13">
        <v>2019</v>
      </c>
      <c r="B24" s="14">
        <v>1630</v>
      </c>
      <c r="C24" s="9">
        <f t="shared" si="3"/>
        <v>1679.6912352836043</v>
      </c>
    </row>
    <row r="25" spans="1:5" x14ac:dyDescent="0.35">
      <c r="A25" s="11">
        <v>2020</v>
      </c>
      <c r="B25" s="12">
        <v>2052</v>
      </c>
      <c r="C25" s="9">
        <f t="shared" si="3"/>
        <v>2016.2060793287237</v>
      </c>
    </row>
    <row r="26" spans="1:5" x14ac:dyDescent="0.35">
      <c r="A26" s="13">
        <v>2021</v>
      </c>
      <c r="B26" s="14">
        <v>1626</v>
      </c>
      <c r="C26" s="9">
        <f t="shared" si="3"/>
        <v>1795.5240145368382</v>
      </c>
    </row>
    <row r="27" spans="1:5" x14ac:dyDescent="0.35">
      <c r="A27" s="11">
        <v>2022</v>
      </c>
      <c r="B27" s="12">
        <v>1706</v>
      </c>
      <c r="C27" s="9">
        <f t="shared" si="3"/>
        <v>1975.7332951615901</v>
      </c>
    </row>
    <row r="28" spans="1:5" x14ac:dyDescent="0.35">
      <c r="A28" s="13">
        <v>2023</v>
      </c>
      <c r="B28" s="14">
        <v>2150</v>
      </c>
      <c r="C28" s="9">
        <f t="shared" si="3"/>
        <v>2312.2481392067098</v>
      </c>
    </row>
    <row r="29" spans="1:5" x14ac:dyDescent="0.35">
      <c r="A29" s="11">
        <v>2024</v>
      </c>
      <c r="B29" s="12">
        <v>2161</v>
      </c>
      <c r="C29" s="9">
        <f t="shared" si="3"/>
        <v>2091.566074414824</v>
      </c>
    </row>
    <row r="30" spans="1:5" x14ac:dyDescent="0.35">
      <c r="A30" s="13">
        <v>2025</v>
      </c>
      <c r="B30" s="14">
        <v>2461</v>
      </c>
      <c r="C30" s="9">
        <f t="shared" si="3"/>
        <v>2271.7753550395764</v>
      </c>
    </row>
    <row r="31" spans="1:5" x14ac:dyDescent="0.35">
      <c r="A31" s="11">
        <v>2026</v>
      </c>
      <c r="B31" s="14"/>
      <c r="C31" s="9">
        <f t="shared" si="3"/>
        <v>2608.2901990846958</v>
      </c>
    </row>
    <row r="32" spans="1:5" x14ac:dyDescent="0.35">
      <c r="A32" s="13">
        <v>2027</v>
      </c>
      <c r="B32" s="14"/>
      <c r="C32" s="9">
        <f t="shared" si="3"/>
        <v>2387.6081342928101</v>
      </c>
    </row>
    <row r="33" spans="1:5" x14ac:dyDescent="0.35">
      <c r="A33" s="11">
        <v>2028</v>
      </c>
      <c r="B33" s="14"/>
      <c r="C33" s="9">
        <f t="shared" si="3"/>
        <v>2567.8174149175625</v>
      </c>
    </row>
    <row r="34" spans="1:5" x14ac:dyDescent="0.35">
      <c r="A34" s="13">
        <v>2029</v>
      </c>
      <c r="B34" s="14"/>
      <c r="C34" s="9">
        <f t="shared" si="3"/>
        <v>2904.3322589626819</v>
      </c>
    </row>
    <row r="35" spans="1:5" x14ac:dyDescent="0.35">
      <c r="A35" s="11">
        <v>2030</v>
      </c>
      <c r="B35" s="14"/>
      <c r="C35" s="9">
        <f t="shared" si="3"/>
        <v>2683.6501941707961</v>
      </c>
    </row>
    <row r="36" spans="1:5" x14ac:dyDescent="0.35">
      <c r="A36" s="13">
        <v>2031</v>
      </c>
      <c r="B36" s="14"/>
      <c r="C36" s="9">
        <f t="shared" si="3"/>
        <v>2863.8594747955481</v>
      </c>
    </row>
    <row r="39" spans="1:5" x14ac:dyDescent="0.35">
      <c r="A39" s="3" t="s">
        <v>0</v>
      </c>
      <c r="B39" s="3" t="s">
        <v>1</v>
      </c>
      <c r="C39" s="8" t="s">
        <v>10</v>
      </c>
      <c r="D39" s="8" t="s">
        <v>11</v>
      </c>
      <c r="E39" s="8" t="s">
        <v>12</v>
      </c>
    </row>
    <row r="40" spans="1:5" x14ac:dyDescent="0.35">
      <c r="A40" s="4">
        <v>2016</v>
      </c>
      <c r="B40" s="5">
        <v>1468</v>
      </c>
      <c r="C40" s="8"/>
      <c r="D40" s="9">
        <f t="shared" ref="D40:D55" si="4">_xlfn.FORECAST.ETS(A40,$B$40:$B$49,$A$40:$A$49)</f>
        <v>1383.6491754056183</v>
      </c>
      <c r="E40" s="9">
        <f>ABS((B40 - D40) / B40)</f>
        <v>5.7459689778189181E-2</v>
      </c>
    </row>
    <row r="41" spans="1:5" x14ac:dyDescent="0.35">
      <c r="A41" s="6">
        <v>2017</v>
      </c>
      <c r="B41" s="7">
        <v>1700</v>
      </c>
      <c r="C41" s="8"/>
      <c r="D41" s="9">
        <f t="shared" si="4"/>
        <v>1720.1640194507379</v>
      </c>
      <c r="E41" s="9">
        <f t="shared" ref="E41:E49" si="5">ABS((B41 - D41) / B41)</f>
        <v>1.1861187912198763E-2</v>
      </c>
    </row>
    <row r="42" spans="1:5" x14ac:dyDescent="0.35">
      <c r="A42" s="4">
        <v>2018</v>
      </c>
      <c r="B42" s="5">
        <v>1467</v>
      </c>
      <c r="C42" s="9">
        <f>AVERAGE(B40,B41,B42)</f>
        <v>1545</v>
      </c>
      <c r="D42" s="9">
        <f t="shared" si="4"/>
        <v>1499.4819546588524</v>
      </c>
      <c r="E42" s="9">
        <f t="shared" si="5"/>
        <v>2.2141755050342448E-2</v>
      </c>
    </row>
    <row r="43" spans="1:5" x14ac:dyDescent="0.35">
      <c r="A43" s="6">
        <v>2019</v>
      </c>
      <c r="B43" s="7">
        <v>1630</v>
      </c>
      <c r="C43" s="9">
        <f t="shared" ref="C43:C49" si="6">AVERAGE(B41,B42,B43)</f>
        <v>1599</v>
      </c>
      <c r="D43" s="9">
        <f t="shared" si="4"/>
        <v>1679.6912352836043</v>
      </c>
      <c r="E43" s="9">
        <f t="shared" si="5"/>
        <v>3.0485420419389158E-2</v>
      </c>
    </row>
    <row r="44" spans="1:5" x14ac:dyDescent="0.35">
      <c r="A44" s="4">
        <v>2020</v>
      </c>
      <c r="B44" s="5">
        <v>2052</v>
      </c>
      <c r="C44" s="9">
        <f t="shared" si="6"/>
        <v>1716.3333333333333</v>
      </c>
      <c r="D44" s="9">
        <f t="shared" si="4"/>
        <v>2016.2060793287237</v>
      </c>
      <c r="E44" s="9">
        <f t="shared" si="5"/>
        <v>1.7443431126352965E-2</v>
      </c>
    </row>
    <row r="45" spans="1:5" x14ac:dyDescent="0.35">
      <c r="A45" s="6">
        <v>2021</v>
      </c>
      <c r="B45" s="7">
        <v>1626</v>
      </c>
      <c r="C45" s="9">
        <f t="shared" si="6"/>
        <v>1769.3333333333333</v>
      </c>
      <c r="D45" s="9">
        <f t="shared" si="4"/>
        <v>1795.5240145368382</v>
      </c>
      <c r="E45" s="9">
        <f t="shared" si="5"/>
        <v>0.10425831152327072</v>
      </c>
    </row>
    <row r="46" spans="1:5" x14ac:dyDescent="0.35">
      <c r="A46" s="4">
        <v>2022</v>
      </c>
      <c r="B46" s="5">
        <v>1706</v>
      </c>
      <c r="C46" s="9">
        <f t="shared" si="6"/>
        <v>1794.6666666666667</v>
      </c>
      <c r="D46" s="9">
        <f t="shared" si="4"/>
        <v>1975.7332951615901</v>
      </c>
      <c r="E46" s="9">
        <f t="shared" si="5"/>
        <v>0.15810861381101415</v>
      </c>
    </row>
    <row r="47" spans="1:5" x14ac:dyDescent="0.35">
      <c r="A47" s="6">
        <v>2023</v>
      </c>
      <c r="B47" s="7">
        <v>2150</v>
      </c>
      <c r="C47" s="9">
        <f t="shared" si="6"/>
        <v>1827.3333333333333</v>
      </c>
      <c r="D47" s="9">
        <f t="shared" si="4"/>
        <v>2312.2481392067098</v>
      </c>
      <c r="E47" s="9">
        <f t="shared" si="5"/>
        <v>7.5464250793818494E-2</v>
      </c>
    </row>
    <row r="48" spans="1:5" x14ac:dyDescent="0.35">
      <c r="A48" s="4">
        <v>2024</v>
      </c>
      <c r="B48" s="5">
        <v>2161</v>
      </c>
      <c r="C48" s="9">
        <f t="shared" si="6"/>
        <v>2005.6666666666667</v>
      </c>
      <c r="D48" s="9">
        <f t="shared" si="4"/>
        <v>2091.566074414824</v>
      </c>
      <c r="E48" s="9">
        <f t="shared" si="5"/>
        <v>3.2130460705773245E-2</v>
      </c>
    </row>
    <row r="49" spans="1:5" x14ac:dyDescent="0.35">
      <c r="A49" s="6">
        <v>2025</v>
      </c>
      <c r="B49" s="7">
        <v>2461</v>
      </c>
      <c r="C49" s="9">
        <f t="shared" si="6"/>
        <v>2257.3333333333335</v>
      </c>
      <c r="D49" s="9">
        <f t="shared" si="4"/>
        <v>2271.7753550395764</v>
      </c>
      <c r="E49" s="9">
        <f t="shared" si="5"/>
        <v>7.6889331556450044E-2</v>
      </c>
    </row>
    <row r="50" spans="1:5" x14ac:dyDescent="0.35">
      <c r="A50" s="4">
        <v>2026</v>
      </c>
      <c r="B50" s="7"/>
      <c r="C50" s="8"/>
      <c r="D50" s="9">
        <f t="shared" si="4"/>
        <v>2608.2901990846958</v>
      </c>
      <c r="E50" s="9">
        <f>AVERAGE(E40:E49)</f>
        <v>5.8624245267679911E-2</v>
      </c>
    </row>
    <row r="51" spans="1:5" x14ac:dyDescent="0.35">
      <c r="A51" s="6">
        <v>2027</v>
      </c>
      <c r="B51" s="7"/>
      <c r="C51" s="8"/>
      <c r="D51" s="9">
        <f t="shared" si="4"/>
        <v>2387.6081342928101</v>
      </c>
      <c r="E51" s="8"/>
    </row>
    <row r="52" spans="1:5" x14ac:dyDescent="0.35">
      <c r="A52" s="4">
        <v>2028</v>
      </c>
      <c r="B52" s="7"/>
      <c r="C52" s="8"/>
      <c r="D52" s="9">
        <f t="shared" si="4"/>
        <v>2567.8174149175625</v>
      </c>
      <c r="E52" s="8"/>
    </row>
    <row r="53" spans="1:5" x14ac:dyDescent="0.35">
      <c r="A53" s="6">
        <v>2029</v>
      </c>
      <c r="B53" s="7"/>
      <c r="C53" s="8"/>
      <c r="D53" s="9">
        <f t="shared" si="4"/>
        <v>2904.3322589626819</v>
      </c>
      <c r="E53" s="8"/>
    </row>
    <row r="54" spans="1:5" x14ac:dyDescent="0.35">
      <c r="A54" s="4">
        <v>2030</v>
      </c>
      <c r="B54" s="7"/>
      <c r="C54" s="8"/>
      <c r="D54" s="9">
        <f t="shared" si="4"/>
        <v>2683.6501941707961</v>
      </c>
      <c r="E54" s="8"/>
    </row>
    <row r="55" spans="1:5" x14ac:dyDescent="0.35">
      <c r="A55" s="6">
        <v>2031</v>
      </c>
      <c r="B55" s="7"/>
      <c r="C55" s="8"/>
      <c r="D55" s="9">
        <f t="shared" si="4"/>
        <v>2863.8594747955481</v>
      </c>
      <c r="E55" s="8"/>
    </row>
  </sheetData>
  <pageMargins left="0.7" right="0.7" top="0.75" bottom="0.75" header="0.3" footer="0.3"/>
  <ignoredErrors>
    <ignoredError sqref="C11:E11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7ED7-48AF-4D87-94DF-CB69A3157AE7}">
  <dimension ref="A1:E50"/>
  <sheetViews>
    <sheetView zoomScale="87" workbookViewId="0">
      <selection activeCell="C37" sqref="C37:C44"/>
    </sheetView>
  </sheetViews>
  <sheetFormatPr defaultRowHeight="14.5" x14ac:dyDescent="0.35"/>
  <cols>
    <col min="1" max="1" width="10.08984375" customWidth="1"/>
    <col min="3" max="3" width="16.7265625" bestFit="1" customWidth="1"/>
    <col min="4" max="4" width="23.54296875" customWidth="1"/>
    <col min="5" max="5" width="23.7265625" customWidth="1"/>
  </cols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 s="2">
        <v>2016</v>
      </c>
      <c r="B2">
        <v>1470</v>
      </c>
    </row>
    <row r="3" spans="1:5" x14ac:dyDescent="0.35">
      <c r="A3" s="2">
        <v>2017</v>
      </c>
      <c r="B3">
        <v>1570</v>
      </c>
    </row>
    <row r="4" spans="1:5" x14ac:dyDescent="0.35">
      <c r="A4" s="2">
        <v>2018</v>
      </c>
      <c r="B4">
        <v>1362</v>
      </c>
    </row>
    <row r="5" spans="1:5" x14ac:dyDescent="0.35">
      <c r="A5" s="2">
        <v>2019</v>
      </c>
      <c r="B5">
        <v>1540</v>
      </c>
    </row>
    <row r="6" spans="1:5" x14ac:dyDescent="0.35">
      <c r="A6" s="2">
        <v>2020</v>
      </c>
      <c r="B6">
        <v>1897</v>
      </c>
    </row>
    <row r="7" spans="1:5" x14ac:dyDescent="0.35">
      <c r="A7" s="2">
        <v>2021</v>
      </c>
      <c r="B7">
        <v>1140</v>
      </c>
    </row>
    <row r="8" spans="1:5" x14ac:dyDescent="0.35">
      <c r="A8" s="2">
        <v>2022</v>
      </c>
      <c r="B8">
        <v>1716</v>
      </c>
    </row>
    <row r="9" spans="1:5" x14ac:dyDescent="0.35">
      <c r="A9" s="2">
        <v>2023</v>
      </c>
      <c r="B9">
        <v>2038</v>
      </c>
    </row>
    <row r="10" spans="1:5" x14ac:dyDescent="0.35">
      <c r="A10" s="2">
        <v>2024</v>
      </c>
      <c r="B10">
        <v>2061</v>
      </c>
    </row>
    <row r="11" spans="1:5" x14ac:dyDescent="0.35">
      <c r="A11" s="2">
        <v>2025</v>
      </c>
      <c r="B11">
        <v>2230</v>
      </c>
      <c r="C11">
        <v>2230</v>
      </c>
      <c r="D11" s="1">
        <v>2230</v>
      </c>
      <c r="E11" s="1">
        <v>2230</v>
      </c>
    </row>
    <row r="12" spans="1:5" x14ac:dyDescent="0.35">
      <c r="A12" s="2">
        <v>2026</v>
      </c>
      <c r="C12">
        <f>_xlfn.FORECAST.ETS(A12,$B$2:$B$11,$A$2:$A$11,1,1)</f>
        <v>2186.334687488858</v>
      </c>
      <c r="D12" s="1">
        <f>C12-_xlfn.FORECAST.ETS.CONFINT(A12,$B$2:$B$11,$A$2:$A$11,0.95,1,1)</f>
        <v>1677.9924361754402</v>
      </c>
      <c r="E12" s="1">
        <f>C12+_xlfn.FORECAST.ETS.CONFINT(A12,$B$2:$B$11,$A$2:$A$11,0.95,1,1)</f>
        <v>2694.6769388022758</v>
      </c>
    </row>
    <row r="13" spans="1:5" x14ac:dyDescent="0.35">
      <c r="A13" s="2">
        <v>2027</v>
      </c>
      <c r="C13">
        <f>_xlfn.FORECAST.ETS(A13,$B$2:$B$11,$A$2:$A$11,1,1)</f>
        <v>2266.9859549811522</v>
      </c>
      <c r="D13" s="1">
        <f>C13-_xlfn.FORECAST.ETS.CONFINT(A13,$B$2:$B$11,$A$2:$A$11,0.95,1,1)</f>
        <v>1754.5605759162031</v>
      </c>
      <c r="E13" s="1">
        <f>C13+_xlfn.FORECAST.ETS.CONFINT(A13,$B$2:$B$11,$A$2:$A$11,0.95,1,1)</f>
        <v>2779.4113340461013</v>
      </c>
    </row>
    <row r="14" spans="1:5" x14ac:dyDescent="0.35">
      <c r="A14" s="2">
        <v>2028</v>
      </c>
      <c r="C14">
        <f>_xlfn.FORECAST.ETS(A14,$B$2:$B$11,$A$2:$A$11,1,1)</f>
        <v>2347.6372224734469</v>
      </c>
      <c r="D14" s="1">
        <f>C14-_xlfn.FORECAST.ETS.CONFINT(A14,$B$2:$B$11,$A$2:$A$11,0.95,1,1)</f>
        <v>1831.0972058535726</v>
      </c>
      <c r="E14" s="1">
        <f>C14+_xlfn.FORECAST.ETS.CONFINT(A14,$B$2:$B$11,$A$2:$A$11,0.95,1,1)</f>
        <v>2864.1772390933211</v>
      </c>
    </row>
    <row r="16" spans="1:5" x14ac:dyDescent="0.35">
      <c r="A16" s="10" t="s">
        <v>5</v>
      </c>
      <c r="B16" s="10" t="s">
        <v>6</v>
      </c>
      <c r="C16" s="26" t="s">
        <v>11</v>
      </c>
    </row>
    <row r="17" spans="1:3" x14ac:dyDescent="0.35">
      <c r="A17" s="11">
        <v>2016</v>
      </c>
      <c r="B17" s="12">
        <v>1470</v>
      </c>
      <c r="C17" s="25">
        <f t="shared" ref="C17:C32" si="0">_xlfn.FORECAST.ETS(A17,$B$35:$B$50,$A$35:$A$50)</f>
        <v>1379.8220125659132</v>
      </c>
    </row>
    <row r="18" spans="1:3" x14ac:dyDescent="0.35">
      <c r="A18" s="13">
        <v>2017</v>
      </c>
      <c r="B18" s="14">
        <v>1570</v>
      </c>
      <c r="C18" s="25">
        <f t="shared" si="0"/>
        <v>1460.4732800582078</v>
      </c>
    </row>
    <row r="19" spans="1:3" x14ac:dyDescent="0.35">
      <c r="A19" s="11">
        <v>2018</v>
      </c>
      <c r="B19" s="12">
        <v>1362</v>
      </c>
      <c r="C19" s="25">
        <f t="shared" si="0"/>
        <v>1541.124547550502</v>
      </c>
    </row>
    <row r="20" spans="1:3" x14ac:dyDescent="0.35">
      <c r="A20" s="13">
        <v>2019</v>
      </c>
      <c r="B20" s="14">
        <v>1540</v>
      </c>
      <c r="C20" s="25">
        <f t="shared" si="0"/>
        <v>1621.7758150427967</v>
      </c>
    </row>
    <row r="21" spans="1:3" x14ac:dyDescent="0.35">
      <c r="A21" s="11">
        <v>2020</v>
      </c>
      <c r="B21" s="12">
        <v>1897</v>
      </c>
      <c r="C21" s="25">
        <f t="shared" si="0"/>
        <v>1702.4270825350911</v>
      </c>
    </row>
    <row r="22" spans="1:3" x14ac:dyDescent="0.35">
      <c r="A22" s="13">
        <v>2021</v>
      </c>
      <c r="B22" s="14">
        <v>1140</v>
      </c>
      <c r="C22" s="25">
        <f t="shared" si="0"/>
        <v>1783.0783500273856</v>
      </c>
    </row>
    <row r="23" spans="1:3" x14ac:dyDescent="0.35">
      <c r="A23" s="11">
        <v>2022</v>
      </c>
      <c r="B23" s="12">
        <v>1716</v>
      </c>
      <c r="C23" s="25">
        <f t="shared" si="0"/>
        <v>1863.72961751968</v>
      </c>
    </row>
    <row r="24" spans="1:3" x14ac:dyDescent="0.35">
      <c r="A24" s="13">
        <v>2023</v>
      </c>
      <c r="B24" s="14">
        <v>2038</v>
      </c>
      <c r="C24" s="25">
        <f t="shared" si="0"/>
        <v>1944.3808850119744</v>
      </c>
    </row>
    <row r="25" spans="1:3" x14ac:dyDescent="0.35">
      <c r="A25" s="11">
        <v>2024</v>
      </c>
      <c r="B25" s="12">
        <v>2061</v>
      </c>
      <c r="C25" s="25">
        <f t="shared" si="0"/>
        <v>2025.0321525042689</v>
      </c>
    </row>
    <row r="26" spans="1:3" x14ac:dyDescent="0.35">
      <c r="A26" s="13">
        <v>2025</v>
      </c>
      <c r="B26" s="14">
        <v>2230</v>
      </c>
      <c r="C26" s="25">
        <f t="shared" si="0"/>
        <v>2105.6834199965633</v>
      </c>
    </row>
    <row r="27" spans="1:3" x14ac:dyDescent="0.35">
      <c r="A27" s="11">
        <v>2026</v>
      </c>
      <c r="B27" s="14"/>
      <c r="C27" s="25">
        <f t="shared" si="0"/>
        <v>2186.334687488858</v>
      </c>
    </row>
    <row r="28" spans="1:3" x14ac:dyDescent="0.35">
      <c r="A28" s="13">
        <v>2027</v>
      </c>
      <c r="B28" s="14"/>
      <c r="C28" s="25">
        <f t="shared" si="0"/>
        <v>2266.9859549811522</v>
      </c>
    </row>
    <row r="29" spans="1:3" x14ac:dyDescent="0.35">
      <c r="A29" s="11">
        <v>2028</v>
      </c>
      <c r="B29" s="14"/>
      <c r="C29" s="25">
        <f t="shared" si="0"/>
        <v>2347.6372224734469</v>
      </c>
    </row>
    <row r="30" spans="1:3" x14ac:dyDescent="0.35">
      <c r="A30" s="13">
        <v>2029</v>
      </c>
      <c r="B30" s="14"/>
      <c r="C30" s="25">
        <f t="shared" si="0"/>
        <v>2428.2884899657411</v>
      </c>
    </row>
    <row r="31" spans="1:3" x14ac:dyDescent="0.35">
      <c r="A31" s="11">
        <v>2030</v>
      </c>
      <c r="B31" s="14"/>
      <c r="C31" s="25">
        <f t="shared" si="0"/>
        <v>2508.9397574580357</v>
      </c>
    </row>
    <row r="32" spans="1:3" x14ac:dyDescent="0.35">
      <c r="A32" s="13">
        <v>2031</v>
      </c>
      <c r="B32" s="14"/>
      <c r="C32" s="25">
        <f t="shared" si="0"/>
        <v>2589.5910249503299</v>
      </c>
    </row>
    <row r="34" spans="1:5" x14ac:dyDescent="0.35">
      <c r="A34" s="10" t="s">
        <v>5</v>
      </c>
      <c r="B34" s="10" t="s">
        <v>6</v>
      </c>
      <c r="C34" s="26" t="s">
        <v>13</v>
      </c>
      <c r="D34" s="26" t="s">
        <v>11</v>
      </c>
      <c r="E34" s="26" t="s">
        <v>12</v>
      </c>
    </row>
    <row r="35" spans="1:5" x14ac:dyDescent="0.35">
      <c r="A35" s="11">
        <v>2016</v>
      </c>
      <c r="B35" s="12">
        <v>1470</v>
      </c>
      <c r="C35" s="14"/>
      <c r="D35" s="25">
        <f t="shared" ref="D35:D50" si="1">_xlfn.FORECAST.ETS(A35,$B$35:$B$50,$A$35:$A$50)</f>
        <v>1379.8220125659132</v>
      </c>
      <c r="E35" s="14">
        <f>(B35-D35)/B35</f>
        <v>6.1345569683052277E-2</v>
      </c>
    </row>
    <row r="36" spans="1:5" x14ac:dyDescent="0.35">
      <c r="A36" s="13">
        <v>2017</v>
      </c>
      <c r="B36" s="14">
        <v>1570</v>
      </c>
      <c r="C36" s="14"/>
      <c r="D36" s="25">
        <f t="shared" si="1"/>
        <v>1460.4732800582078</v>
      </c>
      <c r="E36" s="14">
        <f t="shared" ref="E36:E44" si="2">(B36-D36)/B36</f>
        <v>6.976224200114152E-2</v>
      </c>
    </row>
    <row r="37" spans="1:5" x14ac:dyDescent="0.35">
      <c r="A37" s="11">
        <v>2018</v>
      </c>
      <c r="B37" s="12">
        <v>1362</v>
      </c>
      <c r="C37" s="14">
        <f>AVERAGE(B35:B37)</f>
        <v>1467.3333333333333</v>
      </c>
      <c r="D37" s="25">
        <f t="shared" si="1"/>
        <v>1541.124547550502</v>
      </c>
      <c r="E37" s="14">
        <f t="shared" si="2"/>
        <v>-0.1315158205216608</v>
      </c>
    </row>
    <row r="38" spans="1:5" x14ac:dyDescent="0.35">
      <c r="A38" s="13">
        <v>2019</v>
      </c>
      <c r="B38" s="14">
        <v>1540</v>
      </c>
      <c r="C38" s="14">
        <f t="shared" ref="C38:C44" si="3">AVERAGE(B36:B38)</f>
        <v>1490.6666666666667</v>
      </c>
      <c r="D38" s="25">
        <f t="shared" si="1"/>
        <v>1621.7758150427967</v>
      </c>
      <c r="E38" s="14">
        <f t="shared" si="2"/>
        <v>-5.3101178599218632E-2</v>
      </c>
    </row>
    <row r="39" spans="1:5" x14ac:dyDescent="0.35">
      <c r="A39" s="11">
        <v>2020</v>
      </c>
      <c r="B39" s="12">
        <v>1897</v>
      </c>
      <c r="C39" s="14">
        <f t="shared" si="3"/>
        <v>1599.6666666666667</v>
      </c>
      <c r="D39" s="25">
        <f t="shared" si="1"/>
        <v>1702.4270825350911</v>
      </c>
      <c r="E39" s="14">
        <f t="shared" si="2"/>
        <v>0.10256874932256661</v>
      </c>
    </row>
    <row r="40" spans="1:5" x14ac:dyDescent="0.35">
      <c r="A40" s="13">
        <v>2021</v>
      </c>
      <c r="B40" s="14">
        <v>1140</v>
      </c>
      <c r="C40" s="14">
        <f t="shared" si="3"/>
        <v>1525.6666666666667</v>
      </c>
      <c r="D40" s="25">
        <f t="shared" si="1"/>
        <v>1783.0783500273856</v>
      </c>
      <c r="E40" s="14">
        <f t="shared" si="2"/>
        <v>-0.56410381581349611</v>
      </c>
    </row>
    <row r="41" spans="1:5" x14ac:dyDescent="0.35">
      <c r="A41" s="11">
        <v>2022</v>
      </c>
      <c r="B41" s="12">
        <v>1716</v>
      </c>
      <c r="C41" s="14">
        <f t="shared" si="3"/>
        <v>1584.3333333333333</v>
      </c>
      <c r="D41" s="25">
        <f t="shared" si="1"/>
        <v>1863.72961751968</v>
      </c>
      <c r="E41" s="14">
        <f t="shared" si="2"/>
        <v>-8.6089520699114228E-2</v>
      </c>
    </row>
    <row r="42" spans="1:5" x14ac:dyDescent="0.35">
      <c r="A42" s="13">
        <v>2023</v>
      </c>
      <c r="B42" s="14">
        <v>2038</v>
      </c>
      <c r="C42" s="14">
        <f t="shared" si="3"/>
        <v>1631.3333333333333</v>
      </c>
      <c r="D42" s="25">
        <f t="shared" si="1"/>
        <v>1944.3808850119744</v>
      </c>
      <c r="E42" s="14">
        <f t="shared" si="2"/>
        <v>4.5936759071651401E-2</v>
      </c>
    </row>
    <row r="43" spans="1:5" x14ac:dyDescent="0.35">
      <c r="A43" s="11">
        <v>2024</v>
      </c>
      <c r="B43" s="12">
        <v>2061</v>
      </c>
      <c r="C43" s="14">
        <f t="shared" si="3"/>
        <v>1938.3333333333333</v>
      </c>
      <c r="D43" s="25">
        <f t="shared" si="1"/>
        <v>2025.0321525042689</v>
      </c>
      <c r="E43" s="14">
        <f t="shared" si="2"/>
        <v>1.7451648469544456E-2</v>
      </c>
    </row>
    <row r="44" spans="1:5" x14ac:dyDescent="0.35">
      <c r="A44" s="13">
        <v>2025</v>
      </c>
      <c r="B44" s="14">
        <v>2230</v>
      </c>
      <c r="C44" s="14">
        <f t="shared" si="3"/>
        <v>2109.6666666666665</v>
      </c>
      <c r="D44" s="25">
        <f t="shared" si="1"/>
        <v>2105.6834199965633</v>
      </c>
      <c r="E44" s="14">
        <f t="shared" si="2"/>
        <v>5.5747345293020938E-2</v>
      </c>
    </row>
    <row r="45" spans="1:5" x14ac:dyDescent="0.35">
      <c r="A45" s="11">
        <v>2026</v>
      </c>
      <c r="B45" s="14"/>
      <c r="C45" s="14"/>
      <c r="D45" s="25">
        <f t="shared" si="1"/>
        <v>2186.334687488858</v>
      </c>
      <c r="E45" s="14"/>
    </row>
    <row r="46" spans="1:5" x14ac:dyDescent="0.35">
      <c r="A46" s="13">
        <v>2027</v>
      </c>
      <c r="B46" s="14"/>
      <c r="C46" s="14"/>
      <c r="D46" s="25">
        <f t="shared" si="1"/>
        <v>2266.9859549811522</v>
      </c>
      <c r="E46" s="14"/>
    </row>
    <row r="47" spans="1:5" x14ac:dyDescent="0.35">
      <c r="A47" s="11">
        <v>2028</v>
      </c>
      <c r="B47" s="14"/>
      <c r="C47" s="14"/>
      <c r="D47" s="25">
        <f t="shared" si="1"/>
        <v>2347.6372224734469</v>
      </c>
      <c r="E47" s="14"/>
    </row>
    <row r="48" spans="1:5" x14ac:dyDescent="0.35">
      <c r="A48" s="13">
        <v>2029</v>
      </c>
      <c r="B48" s="14"/>
      <c r="C48" s="14"/>
      <c r="D48" s="25">
        <f t="shared" si="1"/>
        <v>2428.2884899657411</v>
      </c>
      <c r="E48" s="14"/>
    </row>
    <row r="49" spans="1:5" x14ac:dyDescent="0.35">
      <c r="A49" s="11">
        <v>2030</v>
      </c>
      <c r="B49" s="14"/>
      <c r="C49" s="14"/>
      <c r="D49" s="25">
        <f t="shared" si="1"/>
        <v>2508.9397574580357</v>
      </c>
      <c r="E49" s="14"/>
    </row>
    <row r="50" spans="1:5" x14ac:dyDescent="0.35">
      <c r="A50" s="13">
        <v>2031</v>
      </c>
      <c r="B50" s="14"/>
      <c r="C50" s="14"/>
      <c r="D50" s="25">
        <f t="shared" si="1"/>
        <v>2589.5910249503299</v>
      </c>
      <c r="E50" s="14"/>
    </row>
  </sheetData>
  <pageMargins left="0.7" right="0.7" top="0.75" bottom="0.75" header="0.3" footer="0.3"/>
  <ignoredErrors>
    <ignoredError sqref="C37:C44" formulaRange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Grain Market (Prices)</vt:lpstr>
      <vt:lpstr>Fatehnagar Market (Prices)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Shivanshi Mankotia</dc:creator>
  <cp:lastModifiedBy>Shivanshi Mankotia</cp:lastModifiedBy>
  <dcterms:created xsi:type="dcterms:W3CDTF">2025-12-16T03:10:58Z</dcterms:created>
  <dcterms:modified xsi:type="dcterms:W3CDTF">2025-12-16T08:44:47Z</dcterms:modified>
</cp:coreProperties>
</file>